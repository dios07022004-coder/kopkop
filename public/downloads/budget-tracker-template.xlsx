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арт" sheetId="1" r:id="rId1"/>
    <sheet name="Доходы" sheetId="2" r:id="rId2"/>
    <sheet name="Расходы" sheetId="3" r:id="rId3"/>
    <sheet name="Распределение" sheetId="4" r:id="rId4"/>
    <sheet name="Решение о покупке" sheetId="5" r:id="rId5"/>
    <sheet name="Цели" sheetId="6" r:id="rId6"/>
    <sheet name="Резерв" sheetId="7" r:id="rId7"/>
    <sheet name="Дашборд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ФИНАНСОВЫЙ ТРЕКЕР БЮДЖЕТА — «Деньги под контролем»</v>
      </c>
    </row>
    <row r="2">
      <c r="A2" t="str">
        <v/>
      </c>
    </row>
    <row r="3">
      <c r="A3" t="str">
        <v>Быстрый старт:</v>
      </c>
    </row>
    <row r="4">
      <c r="A4" t="str">
        <v>1. Доходы → 2. Расходы → 3. Распределение → 4. Резерв → 5. Покупка → 6. Дашборд</v>
      </c>
    </row>
    <row r="5">
      <c r="A5" t="str">
        <v/>
      </c>
    </row>
    <row r="6">
      <c r="A6" t="str">
        <v>Глоссарий:</v>
      </c>
    </row>
    <row r="7">
      <c r="A7" t="str">
        <v>На жизнь</v>
      </c>
      <c r="B7" t="str">
        <v>Счёт + доход − обязательные − копилка − минимум на счёте</v>
      </c>
    </row>
    <row r="8">
      <c r="A8" t="str">
        <v>Свободный поток</v>
      </c>
      <c r="B8" t="str">
        <v>Доход − обязательные − переменные − копилка</v>
      </c>
    </row>
    <row r="9">
      <c r="A9" t="str">
        <v>Доступно на покупку</v>
      </c>
      <c r="B9" t="str">
        <v>С учётом минимума и ближайших обязательных с баланса</v>
      </c>
    </row>
    <row r="10">
      <c r="A10" t="str">
        <v/>
      </c>
    </row>
    <row r="11">
      <c r="A11" t="str">
        <v>Цвета:</v>
      </c>
      <c r="B11" t="str">
        <v>Зелёный — OK</v>
      </c>
      <c r="C11" t="str">
        <v>Жёлтый — осторожно</v>
      </c>
      <c r="D11" t="str">
        <v>Красный — не хватает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Дата</v>
      </c>
      <c r="B1" t="str">
        <v>Источник</v>
      </c>
      <c r="C1" t="str">
        <v>Категория</v>
      </c>
      <c r="D1" t="str">
        <v>Сумма</v>
      </c>
      <c r="E1" t="str">
        <v>Комментарий</v>
      </c>
    </row>
    <row r="2">
      <c r="A2" t="str">
        <v>2026-06-01</v>
      </c>
      <c r="B2" t="str">
        <v>Работа</v>
      </c>
      <c r="C2" t="str">
        <v>Зарплата</v>
      </c>
      <c r="D2">
        <v>80000</v>
      </c>
      <c r="E2" t="str">
        <v/>
      </c>
    </row>
    <row r="3">
      <c r="A3" t="str">
        <v>2026-06-15</v>
      </c>
      <c r="B3" t="str">
        <v>Клиент А</v>
      </c>
      <c r="C3" t="str">
        <v>Фриланс</v>
      </c>
      <c r="D3">
        <v>25000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Дата</v>
      </c>
      <c r="B1" t="str">
        <v>Категория</v>
      </c>
      <c r="C1" t="str">
        <v>Подкategория</v>
      </c>
      <c r="D1" t="str">
        <v>Тип</v>
      </c>
      <c r="E1" t="str">
        <v>Сумма</v>
      </c>
      <c r="F1" t="str">
        <v>Комментарий</v>
      </c>
    </row>
    <row r="2">
      <c r="A2" t="str">
        <v>2026-06-01</v>
      </c>
      <c r="B2" t="str">
        <v>Жильё</v>
      </c>
      <c r="C2" t="str">
        <v>Аренда</v>
      </c>
      <c r="D2" t="str">
        <v>Обязательный</v>
      </c>
      <c r="E2">
        <v>25000</v>
      </c>
      <c r="F2" t="str">
        <v/>
      </c>
    </row>
    <row r="3">
      <c r="A3" t="str">
        <v>2026-06-01</v>
      </c>
      <c r="B3" t="str">
        <v>Кредиты</v>
      </c>
      <c r="C3" t="str">
        <v>Платёж</v>
      </c>
      <c r="D3" t="str">
        <v>Обязательный</v>
      </c>
      <c r="E3">
        <v>10000</v>
      </c>
      <c r="F3" t="str">
        <v/>
      </c>
    </row>
    <row r="4">
      <c r="A4" t="str">
        <v>2026-06-05</v>
      </c>
      <c r="B4" t="str">
        <v>Еда</v>
      </c>
      <c r="C4" t="str">
        <v>Продукты</v>
      </c>
      <c r="D4" t="str">
        <v>Переменный</v>
      </c>
      <c r="E4">
        <v>12000</v>
      </c>
      <c r="F4" t="str">
        <v/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РАСПРЕДЕЛЕНИЕ ТРАТ</v>
      </c>
    </row>
    <row r="2">
      <c r="A2" t="str">
        <v/>
      </c>
    </row>
    <row r="3">
      <c r="A3" t="str">
        <v>Параметр</v>
      </c>
      <c r="B3" t="str">
        <v>Значение</v>
      </c>
      <c r="C3" t="str">
        <v>Пояснение</v>
      </c>
    </row>
    <row r="4">
      <c r="A4" t="str">
        <v>На счёте сейчас</v>
      </c>
      <c r="B4">
        <v>45000</v>
      </c>
      <c r="C4" t="str">
        <v/>
      </c>
    </row>
    <row r="5">
      <c r="A5" t="str">
        <v>Доход за месяц</v>
      </c>
      <c r="B5">
        <v>80000</v>
      </c>
      <c r="C5" t="str">
        <v/>
      </c>
    </row>
    <row r="6">
      <c r="A6" t="str">
        <v>Аренда / ипотека</v>
      </c>
      <c r="B6">
        <v>25000</v>
      </c>
      <c r="C6" t="str">
        <v>Обязательное</v>
      </c>
    </row>
    <row r="7">
      <c r="A7" t="str">
        <v>Кредиты</v>
      </c>
      <c r="B7">
        <v>10000</v>
      </c>
      <c r="C7" t="str">
        <v>Обязательное</v>
      </c>
    </row>
    <row r="8">
      <c r="A8" t="str">
        <v>Коммуналка</v>
      </c>
      <c r="B8">
        <v>5000</v>
      </c>
      <c r="C8" t="str">
        <v>Обязательное</v>
      </c>
    </row>
    <row r="9">
      <c r="A9" t="str">
        <v>Плановые переменные</v>
      </c>
      <c r="B9">
        <v>15000</v>
      </c>
      <c r="C9" t="str">
        <v>Еда, транспорт</v>
      </c>
    </row>
    <row r="10">
      <c r="A10" t="str">
        <v>Копилка / цели</v>
      </c>
      <c r="B10">
        <v>10000</v>
      </c>
      <c r="C10" t="str">
        <v/>
      </c>
    </row>
    <row r="11">
      <c r="A11" t="str">
        <v>Минимум на счёте</v>
      </c>
      <c r="B11">
        <v>30000</v>
      </c>
      <c r="C11" t="str">
        <v>Подушка безопасности</v>
      </c>
    </row>
    <row r="12">
      <c r="A12" t="str">
        <v/>
      </c>
    </row>
    <row r="13">
      <c r="A13" t="str">
        <v>РАСЧЁТЫ</v>
      </c>
      <c r="B13" t="str">
        <v/>
      </c>
      <c r="C13" t="str">
        <v/>
      </c>
    </row>
    <row r="14">
      <c r="A14" t="str">
        <v>Обязательные (итого)</v>
      </c>
      <c r="B14">
        <f>SUM(B6:B8)</f>
      </c>
      <c r="C14" t="str">
        <v/>
      </c>
    </row>
    <row r="15">
      <c r="A15" t="str">
        <v>Всего ресурсов</v>
      </c>
      <c r="B15">
        <f>B4+B5</f>
      </c>
      <c r="C15" t="str">
        <v>Счёт + доход</v>
      </c>
    </row>
    <row r="16">
      <c r="A16" t="str">
        <v>На жизнь в месяц</v>
      </c>
      <c r="B16">
        <f>MAX(0,B14-B13-B10-B11)</f>
      </c>
      <c r="C16" t="str">
        <v>availableForLife</v>
      </c>
    </row>
    <row r="17">
      <c r="A17" t="str">
        <v>Свободный поток</v>
      </c>
      <c r="B17">
        <f>B5-B13-B9-B10</f>
      </c>
      <c r="C17" t="str">
        <v>freeBudgetMonthly</v>
      </c>
    </row>
    <row r="18">
      <c r="A18" t="str">
        <v>Доступно на покупку сейчас</v>
      </c>
      <c r="B18">
        <f>MAX(0,B4-B11-MIN(B4,B13))</f>
      </c>
      <c r="C18" t="str">
        <v>availableForPurchaseNow</v>
      </c>
    </row>
    <row r="19">
      <c r="A19" t="str">
        <v>Можно потратить сейчас</v>
      </c>
      <c r="B19">
        <f>B17</f>
      </c>
      <c r="C19" t="str">
        <v>= доступно на покупку</v>
      </c>
    </row>
    <row r="20">
      <c r="A20" t="str">
        <v/>
      </c>
    </row>
    <row r="21">
      <c r="A21" t="str">
        <v>КУДА ТРАТИТЬ</v>
      </c>
      <c r="B21" t="str">
        <v>Сумма</v>
      </c>
      <c r="C21" t="str">
        <v>%</v>
      </c>
    </row>
    <row r="22">
      <c r="A22" t="str">
        <v>Продукты</v>
      </c>
      <c r="B22">
        <f>ROUND(B15*0.35,0)</f>
      </c>
      <c r="C22" t="str">
        <v>35%</v>
      </c>
    </row>
    <row r="23">
      <c r="A23" t="str">
        <v>Транспорт</v>
      </c>
      <c r="B23">
        <f>ROUND(B15*0.15,0)</f>
      </c>
      <c r="C23" t="str">
        <v>15%</v>
      </c>
    </row>
    <row r="24">
      <c r="A24" t="str">
        <v>Здоровье / аптека</v>
      </c>
      <c r="B24">
        <f>ROUND(B15*0.1,0)</f>
      </c>
      <c r="C24" t="str">
        <v>10%</v>
      </c>
    </row>
    <row r="25">
      <c r="A25" t="str">
        <v>Развлечения</v>
      </c>
      <c r="B25">
        <f>ROUND(B15*0.1,0)</f>
      </c>
      <c r="C25" t="str">
        <v>10%</v>
      </c>
    </row>
    <row r="26">
      <c r="A26" t="str">
        <v>Прочее</v>
      </c>
      <c r="B26">
        <f>B15-B21-B22-B23-B24</f>
      </c>
      <c r="C26" t="str">
        <v>остаток округления</v>
      </c>
    </row>
    <row r="27">
      <c r="A27" t="str">
        <v/>
      </c>
    </row>
    <row r="28">
      <c r="A28" t="str">
        <v>Статус</v>
      </c>
      <c r="B28">
        <f>IF(B15&lt;=0,"Не хватает",IF(B15&lt;10000,"Осторожно","В порядке"))</f>
      </c>
      <c r="C28" t="str">
        <v/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КАЛЬКУЛЯТОР: КУПИТЬ ИЛИ НЕТ</v>
      </c>
    </row>
    <row r="2">
      <c r="A2" t="str">
        <v/>
      </c>
    </row>
    <row r="3">
      <c r="A3" t="str">
        <v>Параметр</v>
      </c>
      <c r="B3" t="str">
        <v>Значение</v>
      </c>
      <c r="C3" t="str">
        <v>Пояснение</v>
      </c>
    </row>
    <row r="4">
      <c r="A4" t="str">
        <v>Название покупки</v>
      </c>
      <c r="B4" t="str">
        <v>Ноутбук</v>
      </c>
      <c r="C4" t="str">
        <v/>
      </c>
    </row>
    <row r="5">
      <c r="A5" t="str">
        <v>Цена</v>
      </c>
      <c r="B5">
        <v>35000</v>
      </c>
      <c r="C5" t="str">
        <v/>
      </c>
    </row>
    <row r="6">
      <c r="A6" t="str">
        <v>Срочность (1-5)</v>
      </c>
      <c r="B6">
        <v>3</v>
      </c>
      <c r="C6" t="str">
        <v/>
      </c>
    </row>
    <row r="7">
      <c r="A7" t="str">
        <v>Полезность (1-5)</v>
      </c>
      <c r="B7">
        <v>4</v>
      </c>
      <c r="C7" t="str">
        <v/>
      </c>
    </row>
    <row r="8">
      <c r="A8" t="str">
        <v/>
      </c>
    </row>
    <row r="9">
      <c r="A9" t="str">
        <v>Связь с Распределением</v>
      </c>
      <c r="B9" t="str">
        <v/>
      </c>
      <c r="C9" t="str">
        <v/>
      </c>
    </row>
    <row r="10">
      <c r="A10" t="str">
        <v>Доступно на покупку</v>
      </c>
      <c r="B10">
        <f>Распределение!B17</f>
      </c>
      <c r="C10" t="str">
        <v/>
      </c>
    </row>
    <row r="11">
      <c r="A11" t="str">
        <v>Свободный поток</v>
      </c>
      <c r="B11">
        <f>Распределение!B16</f>
      </c>
      <c r="C11" t="str">
        <v/>
      </c>
    </row>
    <row r="12">
      <c r="A12" t="str">
        <v>На счёте</v>
      </c>
      <c r="B12">
        <f>Распределение!B4</f>
      </c>
      <c r="C12" t="str">
        <v/>
      </c>
    </row>
    <row r="13">
      <c r="A13" t="str">
        <v>Минимум на счёте</v>
      </c>
      <c r="B13">
        <f>Распределение!B11</f>
      </c>
      <c r="C13" t="str">
        <v/>
      </c>
    </row>
    <row r="14">
      <c r="A14" t="str">
        <v/>
      </c>
    </row>
    <row r="15">
      <c r="A15" t="str">
        <v>РАСЧЁТЫ</v>
      </c>
      <c r="B15" t="str">
        <v/>
      </c>
      <c r="C15" t="str">
        <v/>
      </c>
    </row>
    <row r="16">
      <c r="A16" t="str">
        <v>Не хватает</v>
      </c>
      <c r="B16">
        <f>MAX(0,B5-B10)</f>
      </c>
      <c r="C16" t="str">
        <v/>
      </c>
    </row>
    <row r="17">
      <c r="A17" t="str">
        <v>После покупки на счёте</v>
      </c>
      <c r="B17">
        <f>B12-B5</f>
      </c>
      <c r="C17" t="str">
        <v/>
      </c>
    </row>
    <row r="18">
      <c r="A18" t="str">
        <v>Месяцев до покупки</v>
      </c>
      <c r="B18">
        <f>IF(B16=0,0,IF(B11&lt;=0,"",CEILING(B16/MAX(1,B11),1)))</f>
      </c>
      <c r="C18" t="str">
        <v/>
      </c>
    </row>
    <row r="19">
      <c r="A19" t="str">
        <v>СТАТУС</v>
      </c>
      <c r="B19">
        <f>IF(B17&lt;B13,"Сначала резерв",IF(AND(B16=0,B6&lt;=2,B7&lt;=2),"Подождать 7 дней",IF(B16=0,"Купить сейчас",IF(B11&gt;0,"Отложить","Сначала стабилизируйте бюджет"))))</f>
      </c>
      <c r="C19" t="str">
        <v/>
      </c>
    </row>
  </sheetData>
  <ignoredErrors>
    <ignoredError numberStoredAsText="1" sqref="A1:C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КАЛЬКУЛЯТОР: НАКОПИТЬ</v>
      </c>
    </row>
    <row r="2">
      <c r="A2" t="str">
        <v/>
      </c>
    </row>
    <row r="3">
      <c r="A3" t="str">
        <v>Параметр</v>
      </c>
      <c r="B3" t="str">
        <v>Значение</v>
      </c>
      <c r="C3" t="str">
        <v>Пояснение</v>
      </c>
    </row>
    <row r="4">
      <c r="A4" t="str">
        <v>Название цели</v>
      </c>
      <c r="B4" t="str">
        <v>Отпуск</v>
      </c>
      <c r="C4" t="str">
        <v/>
      </c>
    </row>
    <row r="5">
      <c r="A5" t="str">
        <v>Сумма цели</v>
      </c>
      <c r="B5">
        <v>120000</v>
      </c>
      <c r="C5" t="str">
        <v>targetAmount</v>
      </c>
    </row>
    <row r="6">
      <c r="A6" t="str">
        <v>Уже накоплено</v>
      </c>
      <c r="B6">
        <v>0</v>
      </c>
      <c r="C6" t="str">
        <v>currentSaved</v>
      </c>
    </row>
    <row r="7">
      <c r="A7" t="str">
        <v>Срок (мес)</v>
      </c>
      <c r="B7">
        <v>6</v>
      </c>
      <c r="C7" t="str">
        <v>deadlineMonths</v>
      </c>
    </row>
    <row r="8">
      <c r="A8" t="str">
        <v>Взнос в месяц</v>
      </c>
      <c r="B8">
        <v>20000</v>
      </c>
      <c r="C8" t="str">
        <v>monthlyContribution</v>
      </c>
    </row>
    <row r="9">
      <c r="A9" t="str">
        <v/>
      </c>
    </row>
    <row r="10">
      <c r="A10" t="str">
        <v>Связь с Распределением</v>
      </c>
      <c r="B10" t="str">
        <v/>
      </c>
      <c r="C10" t="str">
        <v/>
      </c>
    </row>
    <row r="11">
      <c r="A11" t="str">
        <v>Свободный поток</v>
      </c>
      <c r="B11">
        <f>Распределение!B16</f>
      </c>
      <c r="C11" t="str">
        <v>freeBudgetMonthly</v>
      </c>
    </row>
    <row r="12">
      <c r="A12" t="str">
        <v>На счёте</v>
      </c>
      <c r="B12">
        <f>Распределение!B4</f>
      </c>
      <c r="C12" t="str">
        <v/>
      </c>
    </row>
    <row r="13">
      <c r="A13" t="str">
        <v>Минимум на счёте</v>
      </c>
      <c r="B13">
        <f>Распределение!B11</f>
      </c>
      <c r="C13" t="str">
        <v/>
      </c>
    </row>
    <row r="14">
      <c r="A14" t="str">
        <v/>
      </c>
    </row>
    <row r="15">
      <c r="A15" t="str">
        <v>РАСЧЁТЫ</v>
      </c>
      <c r="B15" t="str">
        <v/>
      </c>
      <c r="C15" t="str">
        <v/>
      </c>
    </row>
    <row r="16">
      <c r="A16" t="str">
        <v>Осталось накопить</v>
      </c>
      <c r="B16">
        <f>MAX(0,B5-B6)</f>
      </c>
      <c r="C16" t="str">
        <v>remainingToSave</v>
      </c>
    </row>
    <row r="17">
      <c r="A17" t="str">
        <v>Нужно в месяц (по сроку)</v>
      </c>
      <c r="B17">
        <f>IF(B7&gt;0,CEILING(B16/B7,1),"")</f>
      </c>
      <c r="C17" t="str">
        <v>requiredMonthly</v>
      </c>
    </row>
    <row r="18">
      <c r="A18" t="str">
        <v>Месяцев до цели</v>
      </c>
      <c r="B18">
        <f>IF(B8&gt;0,CEILING(B16/B8,1),IF(B7&gt;0,B7,""))</f>
      </c>
      <c r="C18" t="str">
        <v>monthsToGoal</v>
      </c>
    </row>
    <row r="19">
      <c r="A19" t="str">
        <v>Прогресс %</v>
      </c>
      <c r="B19">
        <f>IF(B5&gt;0,MIN(100,B6/B5*100),0)</f>
      </c>
      <c r="C19" t="str">
        <v>progressPercent</v>
      </c>
    </row>
    <row r="20">
      <c r="A20" t="str">
        <v>Безопасный взнос</v>
      </c>
      <c r="B20">
        <f>MAX(0,B12)</f>
      </c>
      <c r="C20" t="str">
        <v>safeContribution = freeBudget</v>
      </c>
    </row>
    <row r="21">
      <c r="A21" t="str">
        <v>СТАТУС</v>
      </c>
      <c r="B21">
        <f>IF(B6&gt;=B5,"Достигнуто",IF(B12&lt;=0,"Невозможно",IF(B8&gt;B12,"Осторожно",IF(B13-B8&lt;B14,"Риск","В порядке"))))</f>
      </c>
      <c r="C21" t="str">
        <v/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РЕЗЕРВ</v>
      </c>
    </row>
    <row r="2">
      <c r="A2" t="str">
        <v>Текущий баланс</v>
      </c>
      <c r="B2">
        <f>Распределение!B4</f>
      </c>
    </row>
    <row r="3">
      <c r="A3" t="str">
        <v>Минимум на счёте</v>
      </c>
      <c r="B3">
        <f>Распределение!B11</f>
      </c>
    </row>
    <row r="4">
      <c r="A4" t="str">
        <v>Прогресс %</v>
      </c>
      <c r="B4">
        <f>IF(B3&gt;0,MIN(100,B2/B3*100),0)</f>
      </c>
    </row>
    <row r="5">
      <c r="A5" t="str">
        <v>Статус</v>
      </c>
      <c r="B5">
        <f>IF(B2&gt;=B3,"В порядке","Осторожно")</f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ДАШБОРД</v>
      </c>
    </row>
    <row r="2">
      <c r="A2" t="str">
        <v/>
      </c>
    </row>
    <row r="3">
      <c r="A3" t="str">
        <v>Показатель</v>
      </c>
      <c r="B3" t="str">
        <v>Значение</v>
      </c>
      <c r="C3" t="str">
        <v>Статус</v>
      </c>
    </row>
    <row r="4">
      <c r="A4" t="str">
        <v>Доход (мес.)</v>
      </c>
      <c r="B4">
        <f>SUM('Доходы'!D:D)</f>
      </c>
      <c r="C4" t="str">
        <v/>
      </c>
    </row>
    <row r="5">
      <c r="A5" t="str">
        <v>Обязательные</v>
      </c>
      <c r="B5">
        <f>SUMIF('Расходы'!D:D,"Обязательный",'Расходы'!E:E)</f>
      </c>
      <c r="C5" t="str">
        <v/>
      </c>
    </row>
    <row r="6">
      <c r="A6" t="str">
        <v>Переменные</v>
      </c>
      <c r="B6">
        <f>SUMIF('Расходы'!D:D,"Переменный",'Расходы'!E:E)</f>
      </c>
      <c r="C6" t="str">
        <v/>
      </c>
    </row>
    <row r="7">
      <c r="A7" t="str">
        <v>Свободный поток</v>
      </c>
      <c r="B7">
        <f>Распределение!B16</f>
      </c>
      <c r="C7" t="str">
        <v>freeBudgetMonthly</v>
      </c>
    </row>
    <row r="8">
      <c r="A8" t="str">
        <v>На жизнь</v>
      </c>
      <c r="B8">
        <f>Распределение!B15</f>
      </c>
      <c r="C8" t="str">
        <v>availableForLife</v>
      </c>
    </row>
    <row r="9">
      <c r="A9" t="str">
        <v>Копилка</v>
      </c>
      <c r="B9">
        <f>Распределение!B10</f>
      </c>
      <c r="C9" t="str">
        <v/>
      </c>
    </row>
    <row r="10">
      <c r="A10" t="str">
        <v>Минимум на счёте</v>
      </c>
      <c r="B10">
        <f>Распределение!B11</f>
      </c>
      <c r="C10" t="str">
        <v/>
      </c>
    </row>
    <row r="11">
      <c r="A11" t="str">
        <v/>
      </c>
    </row>
    <row r="12">
      <c r="A12" t="str">
        <v>Статус бюджета</v>
      </c>
      <c r="B12">
        <f>IF(B6&lt;0,"Опасно",IF(B6&lt;5000,"Осторожно","В порядке"))</f>
      </c>
      <c r="C12" t="str">
        <v/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Старт</vt:lpstr>
      <vt:lpstr>Доходы</vt:lpstr>
      <vt:lpstr>Расходы</vt:lpstr>
      <vt:lpstr>Распределение</vt:lpstr>
      <vt:lpstr>Решение о покупке</vt:lpstr>
      <vt:lpstr>Цели</vt:lpstr>
      <vt:lpstr>Резерв</vt:lpstr>
      <vt:lpstr>Дашборд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